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mig\Desktop\Material_LEEC\3ºano\2ºsemestre\Redes_de_Computadores\Projetos\Projeto1\Trabalho_FSilva_JMarinho\"/>
    </mc:Choice>
  </mc:AlternateContent>
  <xr:revisionPtr revIDLastSave="0" documentId="13_ncr:1_{6F76F754-6A7E-4FD9-9979-9231C8B7151C}" xr6:coauthVersionLast="47" xr6:coauthVersionMax="47" xr10:uidLastSave="{00000000-0000-0000-0000-000000000000}"/>
  <bookViews>
    <workbookView xWindow="-108" yWindow="-108" windowWidth="23256" windowHeight="12456" xr2:uid="{BE881187-D8BB-4B50-89FB-8A15BC262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60" i="1"/>
  <c r="E42" i="1"/>
  <c r="E45" i="1"/>
  <c r="E48" i="1"/>
  <c r="E51" i="1"/>
  <c r="E54" i="1"/>
  <c r="E30" i="1"/>
  <c r="E33" i="1"/>
  <c r="E36" i="1"/>
  <c r="E39" i="1"/>
  <c r="E9" i="1"/>
  <c r="E12" i="1"/>
  <c r="E15" i="1"/>
  <c r="E18" i="1"/>
  <c r="E21" i="1"/>
  <c r="E24" i="1"/>
  <c r="E27" i="1"/>
  <c r="E6" i="1"/>
  <c r="H71" i="1"/>
  <c r="I71" i="1"/>
  <c r="J71" i="1"/>
  <c r="K71" i="1"/>
  <c r="H74" i="1"/>
  <c r="I74" i="1"/>
  <c r="J74" i="1"/>
  <c r="K74" i="1"/>
  <c r="H80" i="1"/>
  <c r="I80" i="1"/>
  <c r="J80" i="1"/>
  <c r="K80" i="1"/>
  <c r="H83" i="1"/>
  <c r="I83" i="1"/>
  <c r="J83" i="1"/>
  <c r="K83" i="1"/>
  <c r="H86" i="1"/>
  <c r="I86" i="1"/>
  <c r="J86" i="1"/>
  <c r="K86" i="1"/>
  <c r="H89" i="1"/>
  <c r="I89" i="1"/>
  <c r="J89" i="1"/>
  <c r="K89" i="1"/>
  <c r="H77" i="1"/>
  <c r="K77" i="1"/>
  <c r="I77" i="1"/>
  <c r="J77" i="1"/>
  <c r="F51" i="1"/>
  <c r="F54" i="1"/>
  <c r="F57" i="1"/>
  <c r="F60" i="1"/>
  <c r="F9" i="1"/>
  <c r="F12" i="1"/>
  <c r="F15" i="1"/>
  <c r="F18" i="1"/>
  <c r="F21" i="1"/>
  <c r="F24" i="1"/>
  <c r="F27" i="1"/>
  <c r="F30" i="1"/>
  <c r="F33" i="1"/>
  <c r="F36" i="1"/>
  <c r="F39" i="1"/>
  <c r="F42" i="1"/>
  <c r="F45" i="1"/>
  <c r="F48" i="1"/>
  <c r="F6" i="1"/>
</calcChain>
</file>

<file path=xl/sharedStrings.xml><?xml version="1.0" encoding="utf-8"?>
<sst xmlns="http://schemas.openxmlformats.org/spreadsheetml/2006/main" count="15" uniqueCount="10">
  <si>
    <t>Eficiencia VS FER - chunk size = 1024Bytes</t>
  </si>
  <si>
    <t>FER</t>
  </si>
  <si>
    <t>SE (%)</t>
  </si>
  <si>
    <t>Influência do tamanho do Frame-I</t>
  </si>
  <si>
    <t>Tamanho do frame (Bytes)</t>
  </si>
  <si>
    <t>Tempo de transmissão</t>
  </si>
  <si>
    <t>Taxa de bits uteis</t>
  </si>
  <si>
    <t>SE(%)</t>
  </si>
  <si>
    <t>Tamanho (Bytes)</t>
  </si>
  <si>
    <t>Taxa de Bytes uteis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</si>
</sst>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/>
    <xf numFmtId="166" fontId="0" fillId="0" borderId="0" xfId="0" applyNumberFormat="1" applyAlignment="1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Eficiência (%)</a:t>
            </a:r>
            <a:r>
              <a:rPr lang="pt-PT" baseline="0"/>
              <a:t> em função da probabilidade de erro de frame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FER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Sheet1!$C$8:$C$65</c:f>
              <c:numCache>
                <c:formatCode>General</c:formatCode>
                <c:ptCount val="58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</c:numCache>
            </c:numRef>
          </c:xVal>
          <c:yVal>
            <c:numRef>
              <c:f>Sheet1!$F$8:$F$65</c:f>
              <c:numCache>
                <c:formatCode>General</c:formatCode>
                <c:ptCount val="58"/>
                <c:pt idx="1">
                  <c:v>42.266666666666666</c:v>
                </c:pt>
                <c:pt idx="4">
                  <c:v>77.793333333333337</c:v>
                </c:pt>
                <c:pt idx="7">
                  <c:v>59.876666666666665</c:v>
                </c:pt>
                <c:pt idx="10">
                  <c:v>41.50333333333333</c:v>
                </c:pt>
                <c:pt idx="13">
                  <c:v>42.546666666666667</c:v>
                </c:pt>
                <c:pt idx="16">
                  <c:v>55.646666666666668</c:v>
                </c:pt>
                <c:pt idx="19">
                  <c:v>60.036666666666669</c:v>
                </c:pt>
                <c:pt idx="22">
                  <c:v>42.543333333333329</c:v>
                </c:pt>
                <c:pt idx="25">
                  <c:v>55.146666666666668</c:v>
                </c:pt>
                <c:pt idx="28">
                  <c:v>19.080000000000002</c:v>
                </c:pt>
                <c:pt idx="31">
                  <c:v>34.396666666666668</c:v>
                </c:pt>
                <c:pt idx="34">
                  <c:v>13.433333333333332</c:v>
                </c:pt>
                <c:pt idx="37">
                  <c:v>3.956666666666667</c:v>
                </c:pt>
                <c:pt idx="40">
                  <c:v>3.92</c:v>
                </c:pt>
                <c:pt idx="43">
                  <c:v>1.9433333333333334</c:v>
                </c:pt>
                <c:pt idx="46">
                  <c:v>0</c:v>
                </c:pt>
                <c:pt idx="49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D-4A77-A767-4384B4FAD0A5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Sheet1!$C$6:$C$65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Sheet1!$H$6:$H$65</c:f>
              <c:numCache>
                <c:formatCode>General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CD-4A77-A767-4384B4FA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708959"/>
        <c:axId val="1146706079"/>
      </c:scatterChart>
      <c:valAx>
        <c:axId val="114670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6706079"/>
        <c:crosses val="autoZero"/>
        <c:crossBetween val="midCat"/>
      </c:valAx>
      <c:valAx>
        <c:axId val="114670607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670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Sheet1!$H$71:$H$91</c:f>
              <c:numCache>
                <c:formatCode>General</c:formatCode>
                <c:ptCount val="21"/>
                <c:pt idx="0">
                  <c:v>4</c:v>
                </c:pt>
                <c:pt idx="3">
                  <c:v>16</c:v>
                </c:pt>
                <c:pt idx="6">
                  <c:v>64</c:v>
                </c:pt>
                <c:pt idx="9">
                  <c:v>256</c:v>
                </c:pt>
                <c:pt idx="12">
                  <c:v>1024</c:v>
                </c:pt>
                <c:pt idx="15">
                  <c:v>4096</c:v>
                </c:pt>
                <c:pt idx="18">
                  <c:v>16384</c:v>
                </c:pt>
              </c:numCache>
            </c:numRef>
          </c:xVal>
          <c:yVal>
            <c:numRef>
              <c:f>Sheet1!$I$71:$I$91</c:f>
              <c:numCache>
                <c:formatCode>0.0000</c:formatCode>
                <c:ptCount val="21"/>
                <c:pt idx="0">
                  <c:v>15.073063333333332</c:v>
                </c:pt>
                <c:pt idx="3">
                  <c:v>5.9008766666666661</c:v>
                </c:pt>
                <c:pt idx="6">
                  <c:v>3.6294733333333333</c:v>
                </c:pt>
                <c:pt idx="9">
                  <c:v>3.072283333333333</c:v>
                </c:pt>
                <c:pt idx="12">
                  <c:v>2.9338766666666665</c:v>
                </c:pt>
                <c:pt idx="15">
                  <c:v>2.9019300000000001</c:v>
                </c:pt>
                <c:pt idx="18">
                  <c:v>2.8921833333333336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6-4B87-8254-B51FBC32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632784"/>
        <c:axId val="877626064"/>
      </c:scatterChart>
      <c:valAx>
        <c:axId val="87763278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26064"/>
        <c:crosses val="autoZero"/>
        <c:crossBetween val="midCat"/>
      </c:valAx>
      <c:valAx>
        <c:axId val="8776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3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Taxa</a:t>
            </a:r>
            <a:r>
              <a:rPr lang="pt-PT" baseline="0"/>
              <a:t> de Bytes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Sheet1!$H$71:$H$91</c:f>
              <c:numCache>
                <c:formatCode>General</c:formatCode>
                <c:ptCount val="21"/>
                <c:pt idx="0">
                  <c:v>4</c:v>
                </c:pt>
                <c:pt idx="3">
                  <c:v>16</c:v>
                </c:pt>
                <c:pt idx="6">
                  <c:v>64</c:v>
                </c:pt>
                <c:pt idx="9">
                  <c:v>256</c:v>
                </c:pt>
                <c:pt idx="12">
                  <c:v>1024</c:v>
                </c:pt>
                <c:pt idx="15">
                  <c:v>4096</c:v>
                </c:pt>
                <c:pt idx="18">
                  <c:v>16384</c:v>
                </c:pt>
              </c:numCache>
            </c:numRef>
          </c:xVal>
          <c:yVal>
            <c:numRef>
              <c:f>Sheet1!$J$71:$J$91</c:f>
              <c:numCache>
                <c:formatCode>0.00</c:formatCode>
                <c:ptCount val="21"/>
                <c:pt idx="0">
                  <c:v>728.18666666666661</c:v>
                </c:pt>
                <c:pt idx="3">
                  <c:v>1860.0766666666666</c:v>
                </c:pt>
                <c:pt idx="6">
                  <c:v>3024.1333333333332</c:v>
                </c:pt>
                <c:pt idx="9">
                  <c:v>3572.5833333333335</c:v>
                </c:pt>
                <c:pt idx="12">
                  <c:v>3757.0266666666666</c:v>
                </c:pt>
                <c:pt idx="15">
                  <c:v>3782.31</c:v>
                </c:pt>
                <c:pt idx="18">
                  <c:v>3795.06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0-4D72-9256-548073C9F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668304"/>
        <c:axId val="877652944"/>
      </c:scatterChart>
      <c:valAx>
        <c:axId val="8776683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52944"/>
        <c:crosses val="autoZero"/>
        <c:crossBetween val="midCat"/>
      </c:valAx>
      <c:valAx>
        <c:axId val="8776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Eficiência (emissor)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Sheet1!$H$71:$H$91</c:f>
              <c:numCache>
                <c:formatCode>General</c:formatCode>
                <c:ptCount val="21"/>
                <c:pt idx="0">
                  <c:v>4</c:v>
                </c:pt>
                <c:pt idx="3">
                  <c:v>16</c:v>
                </c:pt>
                <c:pt idx="6">
                  <c:v>64</c:v>
                </c:pt>
                <c:pt idx="9">
                  <c:v>256</c:v>
                </c:pt>
                <c:pt idx="12">
                  <c:v>1024</c:v>
                </c:pt>
                <c:pt idx="15">
                  <c:v>4096</c:v>
                </c:pt>
                <c:pt idx="18">
                  <c:v>16384</c:v>
                </c:pt>
              </c:numCache>
            </c:numRef>
          </c:xVal>
          <c:yVal>
            <c:numRef>
              <c:f>Sheet1!$K$71:$K$91</c:f>
              <c:numCache>
                <c:formatCode>0.00</c:formatCode>
                <c:ptCount val="21"/>
                <c:pt idx="0">
                  <c:v>15.170000000000002</c:v>
                </c:pt>
                <c:pt idx="3">
                  <c:v>38.75333333333333</c:v>
                </c:pt>
                <c:pt idx="6">
                  <c:v>63.00333333333333</c:v>
                </c:pt>
                <c:pt idx="9">
                  <c:v>74.430000000000007</c:v>
                </c:pt>
                <c:pt idx="12">
                  <c:v>77.943333333333328</c:v>
                </c:pt>
                <c:pt idx="15">
                  <c:v>78.8</c:v>
                </c:pt>
                <c:pt idx="18">
                  <c:v>79.066666666666663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A-4E2B-B6AE-5343A3676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667344"/>
        <c:axId val="877668304"/>
      </c:scatterChart>
      <c:valAx>
        <c:axId val="87766734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68304"/>
        <c:crosses val="autoZero"/>
        <c:crossBetween val="midCat"/>
      </c:valAx>
      <c:valAx>
        <c:axId val="8776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7766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8</xdr:row>
      <xdr:rowOff>95250</xdr:rowOff>
    </xdr:from>
    <xdr:to>
      <xdr:col>19</xdr:col>
      <xdr:colOff>586740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5F339-BD97-20DF-326D-C722DA69F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69</xdr:row>
      <xdr:rowOff>156210</xdr:rowOff>
    </xdr:from>
    <xdr:to>
      <xdr:col>18</xdr:col>
      <xdr:colOff>601980</xdr:colOff>
      <xdr:row>84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F387F-A937-0D42-900C-CC504C01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85</xdr:row>
      <xdr:rowOff>34290</xdr:rowOff>
    </xdr:from>
    <xdr:to>
      <xdr:col>19</xdr:col>
      <xdr:colOff>30480</xdr:colOff>
      <xdr:row>100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70583-0EBE-D5AF-D745-761AA0A81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320040</xdr:colOff>
      <xdr:row>91</xdr:row>
      <xdr:rowOff>87630</xdr:rowOff>
    </xdr:from>
    <xdr:to>
      <xdr:col>11</xdr:col>
      <xdr:colOff>38100</xdr:colOff>
      <xdr:row>106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BC6412-753A-A942-B1D9-3D62095C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A7A0-3C9E-4CE9-BBBB-D6614C2A0C85}">
  <dimension ref="B3:Z91"/>
  <sheetViews>
    <sheetView tabSelected="1" topLeftCell="B80" zoomScale="90" zoomScaleNormal="90" workbookViewId="0">
      <selection activeCell="L66" sqref="L66"/>
    </sheetView>
  </sheetViews>
  <sheetFormatPr defaultRowHeight="14.4" x14ac:dyDescent="0.3"/>
  <cols>
    <col min="1" max="1" width="8.6640625" customWidth="1"/>
    <col min="2" max="2" width="36.77734375" customWidth="1"/>
    <col min="3" max="3" width="22" bestFit="1" customWidth="1"/>
    <col min="4" max="4" width="19.21875" bestFit="1" customWidth="1"/>
    <col min="5" max="5" width="19.21875" customWidth="1"/>
    <col min="6" max="6" width="14.5546875" bestFit="1" customWidth="1"/>
    <col min="7" max="7" width="6.109375" bestFit="1" customWidth="1"/>
    <col min="8" max="8" width="15.21875" bestFit="1" customWidth="1"/>
    <col min="9" max="9" width="22" bestFit="1" customWidth="1"/>
    <col min="10" max="10" width="19.21875" bestFit="1" customWidth="1"/>
    <col min="11" max="11" width="14.5546875" bestFit="1" customWidth="1"/>
    <col min="12" max="12" width="5.6640625" bestFit="1" customWidth="1"/>
    <col min="26" max="26" width="10" bestFit="1" customWidth="1"/>
  </cols>
  <sheetData>
    <row r="3" spans="2:10" x14ac:dyDescent="0.3">
      <c r="C3" s="3" t="s">
        <v>0</v>
      </c>
      <c r="D3" s="3"/>
      <c r="E3" s="3"/>
      <c r="F3" s="3"/>
      <c r="G3" s="3"/>
    </row>
    <row r="4" spans="2:10" x14ac:dyDescent="0.3">
      <c r="C4" s="1"/>
      <c r="D4" s="3"/>
      <c r="E4" s="3"/>
      <c r="F4" s="3"/>
      <c r="G4" s="3"/>
      <c r="H4" s="3"/>
      <c r="I4" s="3"/>
      <c r="J4" s="3"/>
    </row>
    <row r="5" spans="2:10" x14ac:dyDescent="0.3">
      <c r="C5" t="s">
        <v>1</v>
      </c>
      <c r="D5" t="s">
        <v>2</v>
      </c>
      <c r="E5" t="s">
        <v>1</v>
      </c>
      <c r="F5" t="s">
        <v>2</v>
      </c>
    </row>
    <row r="6" spans="2:10" x14ac:dyDescent="0.3">
      <c r="C6">
        <v>0</v>
      </c>
      <c r="D6">
        <v>77.790000000000006</v>
      </c>
      <c r="E6" s="3">
        <f>AVERAGE(C6:C8)</f>
        <v>0</v>
      </c>
      <c r="F6" s="3">
        <f>AVERAGE(D6:D8)</f>
        <v>77.806666666666672</v>
      </c>
    </row>
    <row r="7" spans="2:10" x14ac:dyDescent="0.3">
      <c r="C7">
        <v>0</v>
      </c>
      <c r="D7">
        <v>77.819999999999993</v>
      </c>
      <c r="E7" s="3"/>
      <c r="F7" s="3"/>
    </row>
    <row r="8" spans="2:10" x14ac:dyDescent="0.3">
      <c r="C8">
        <v>0</v>
      </c>
      <c r="D8">
        <v>77.81</v>
      </c>
      <c r="E8" s="3"/>
      <c r="F8" s="3"/>
    </row>
    <row r="9" spans="2:10" x14ac:dyDescent="0.3">
      <c r="B9" s="2"/>
      <c r="C9">
        <v>0.01</v>
      </c>
      <c r="D9">
        <v>23.87</v>
      </c>
      <c r="E9" s="3">
        <f t="shared" ref="E9" si="0">AVERAGE(C9:C11)</f>
        <v>0.01</v>
      </c>
      <c r="F9" s="3">
        <f t="shared" ref="F9" si="1">AVERAGE(D9:D11)</f>
        <v>42.266666666666666</v>
      </c>
    </row>
    <row r="10" spans="2:10" x14ac:dyDescent="0.3">
      <c r="B10" s="2"/>
      <c r="C10">
        <v>0.01</v>
      </c>
      <c r="D10">
        <v>25.11</v>
      </c>
      <c r="E10" s="3"/>
      <c r="F10" s="3"/>
    </row>
    <row r="11" spans="2:10" x14ac:dyDescent="0.3">
      <c r="B11" s="2"/>
      <c r="C11">
        <v>0.01</v>
      </c>
      <c r="D11">
        <v>77.819999999999993</v>
      </c>
      <c r="E11" s="3"/>
      <c r="F11" s="3"/>
    </row>
    <row r="12" spans="2:10" x14ac:dyDescent="0.3">
      <c r="B12" s="2"/>
      <c r="C12">
        <v>0.02</v>
      </c>
      <c r="D12">
        <v>77.77</v>
      </c>
      <c r="E12" s="3">
        <f t="shared" ref="E12" si="2">AVERAGE(C12:C14)</f>
        <v>0.02</v>
      </c>
      <c r="F12" s="3">
        <f t="shared" ref="F12" si="3">AVERAGE(D12:D14)</f>
        <v>77.793333333333337</v>
      </c>
    </row>
    <row r="13" spans="2:10" x14ac:dyDescent="0.3">
      <c r="B13" s="2"/>
      <c r="C13">
        <v>0.02</v>
      </c>
      <c r="D13">
        <v>77.8</v>
      </c>
      <c r="E13" s="3"/>
      <c r="F13" s="3"/>
    </row>
    <row r="14" spans="2:10" x14ac:dyDescent="0.3">
      <c r="B14" s="2"/>
      <c r="C14">
        <v>0.02</v>
      </c>
      <c r="D14">
        <v>77.81</v>
      </c>
      <c r="E14" s="3"/>
      <c r="F14" s="3"/>
    </row>
    <row r="15" spans="2:10" x14ac:dyDescent="0.3">
      <c r="B15" s="2"/>
      <c r="C15">
        <v>0.03</v>
      </c>
      <c r="D15">
        <v>77.8</v>
      </c>
      <c r="E15" s="3">
        <f t="shared" ref="E15" si="4">AVERAGE(C15:C17)</f>
        <v>0.03</v>
      </c>
      <c r="F15" s="3">
        <f t="shared" ref="F15" si="5">AVERAGE(D15:D17)</f>
        <v>59.876666666666665</v>
      </c>
    </row>
    <row r="16" spans="2:10" x14ac:dyDescent="0.3">
      <c r="B16" s="2"/>
      <c r="C16">
        <v>0.03</v>
      </c>
      <c r="D16">
        <v>77.760000000000005</v>
      </c>
      <c r="E16" s="3"/>
      <c r="F16" s="3"/>
    </row>
    <row r="17" spans="2:6" x14ac:dyDescent="0.3">
      <c r="B17" s="2"/>
      <c r="C17">
        <v>0.03</v>
      </c>
      <c r="D17">
        <v>24.07</v>
      </c>
      <c r="E17" s="3"/>
      <c r="F17" s="3"/>
    </row>
    <row r="18" spans="2:6" x14ac:dyDescent="0.3">
      <c r="B18" s="2"/>
      <c r="C18">
        <v>0.04</v>
      </c>
      <c r="D18">
        <v>77.8</v>
      </c>
      <c r="E18" s="3">
        <f t="shared" ref="E18" si="6">AVERAGE(C18:C20)</f>
        <v>0.04</v>
      </c>
      <c r="F18" s="3">
        <f t="shared" ref="F18" si="7">AVERAGE(D18:D20)</f>
        <v>41.50333333333333</v>
      </c>
    </row>
    <row r="19" spans="2:6" x14ac:dyDescent="0.3">
      <c r="B19" s="2"/>
      <c r="C19">
        <v>0.04</v>
      </c>
      <c r="D19">
        <v>23.88</v>
      </c>
      <c r="E19" s="3"/>
      <c r="F19" s="3"/>
    </row>
    <row r="20" spans="2:6" x14ac:dyDescent="0.3">
      <c r="B20" s="2"/>
      <c r="C20">
        <v>0.04</v>
      </c>
      <c r="D20">
        <v>22.83</v>
      </c>
      <c r="E20" s="3"/>
      <c r="F20" s="3"/>
    </row>
    <row r="21" spans="2:6" x14ac:dyDescent="0.3">
      <c r="B21" s="2"/>
      <c r="C21">
        <v>0.05</v>
      </c>
      <c r="D21">
        <v>77.78</v>
      </c>
      <c r="E21" s="3">
        <f t="shared" ref="E21" si="8">AVERAGE(C21:C23)</f>
        <v>5.000000000000001E-2</v>
      </c>
      <c r="F21" s="3">
        <f t="shared" ref="F21" si="9">AVERAGE(D21:D23)</f>
        <v>42.546666666666667</v>
      </c>
    </row>
    <row r="22" spans="2:6" x14ac:dyDescent="0.3">
      <c r="B22" s="2"/>
      <c r="C22">
        <v>0.05</v>
      </c>
      <c r="D22">
        <v>25.05</v>
      </c>
      <c r="E22" s="3"/>
      <c r="F22" s="3"/>
    </row>
    <row r="23" spans="2:6" x14ac:dyDescent="0.3">
      <c r="B23" s="2"/>
      <c r="C23">
        <v>0.05</v>
      </c>
      <c r="D23">
        <v>24.81</v>
      </c>
      <c r="E23" s="3"/>
      <c r="F23" s="3"/>
    </row>
    <row r="24" spans="2:6" x14ac:dyDescent="0.3">
      <c r="B24" s="2"/>
      <c r="C24">
        <v>0.06</v>
      </c>
      <c r="D24">
        <v>77.790000000000006</v>
      </c>
      <c r="E24" s="3">
        <f t="shared" ref="E24" si="10">AVERAGE(C24:C26)</f>
        <v>0.06</v>
      </c>
      <c r="F24" s="3">
        <f t="shared" ref="F24" si="11">AVERAGE(D24:D26)</f>
        <v>55.646666666666668</v>
      </c>
    </row>
    <row r="25" spans="2:6" x14ac:dyDescent="0.3">
      <c r="B25" s="2"/>
      <c r="C25">
        <v>0.06</v>
      </c>
      <c r="D25">
        <v>77.78</v>
      </c>
      <c r="E25" s="3"/>
      <c r="F25" s="3"/>
    </row>
    <row r="26" spans="2:6" x14ac:dyDescent="0.3">
      <c r="B26" s="2"/>
      <c r="C26">
        <v>0.06</v>
      </c>
      <c r="D26">
        <v>11.37</v>
      </c>
      <c r="E26" s="3"/>
      <c r="F26" s="3"/>
    </row>
    <row r="27" spans="2:6" x14ac:dyDescent="0.3">
      <c r="B27" s="2"/>
      <c r="C27">
        <v>7.0000000000000007E-2</v>
      </c>
      <c r="D27">
        <v>77.790000000000006</v>
      </c>
      <c r="E27" s="3">
        <f t="shared" ref="E27" si="12">AVERAGE(C27:C29)</f>
        <v>7.0000000000000007E-2</v>
      </c>
      <c r="F27" s="3">
        <f t="shared" ref="F27" si="13">AVERAGE(D27:D29)</f>
        <v>60.036666666666669</v>
      </c>
    </row>
    <row r="28" spans="2:6" x14ac:dyDescent="0.3">
      <c r="B28" s="2"/>
      <c r="C28">
        <v>7.0000000000000007E-2</v>
      </c>
      <c r="D28">
        <v>77.75</v>
      </c>
      <c r="E28" s="3"/>
      <c r="F28" s="3"/>
    </row>
    <row r="29" spans="2:6" x14ac:dyDescent="0.3">
      <c r="B29" s="2"/>
      <c r="C29">
        <v>7.0000000000000007E-2</v>
      </c>
      <c r="D29">
        <v>24.57</v>
      </c>
      <c r="E29" s="3"/>
      <c r="F29" s="3"/>
    </row>
    <row r="30" spans="2:6" x14ac:dyDescent="0.3">
      <c r="B30" s="2"/>
      <c r="C30">
        <v>0.08</v>
      </c>
      <c r="D30">
        <v>25.01</v>
      </c>
      <c r="E30" s="3">
        <f>AVERAGE(C30:C32)</f>
        <v>0.08</v>
      </c>
      <c r="F30" s="3">
        <f t="shared" ref="F30" si="14">AVERAGE(D30:D32)</f>
        <v>42.543333333333329</v>
      </c>
    </row>
    <row r="31" spans="2:6" x14ac:dyDescent="0.3">
      <c r="B31" s="2"/>
      <c r="C31">
        <v>0.08</v>
      </c>
      <c r="D31">
        <v>24.87</v>
      </c>
      <c r="E31" s="3"/>
      <c r="F31" s="3"/>
    </row>
    <row r="32" spans="2:6" x14ac:dyDescent="0.3">
      <c r="B32" s="2"/>
      <c r="C32">
        <v>0.08</v>
      </c>
      <c r="D32">
        <v>77.75</v>
      </c>
      <c r="E32" s="3"/>
      <c r="F32" s="3"/>
    </row>
    <row r="33" spans="2:6" x14ac:dyDescent="0.3">
      <c r="B33" s="2"/>
      <c r="C33">
        <v>0.09</v>
      </c>
      <c r="D33">
        <v>77.8</v>
      </c>
      <c r="E33" s="3">
        <f t="shared" ref="E33" si="15">AVERAGE(C33:C35)</f>
        <v>9.0000000000000011E-2</v>
      </c>
      <c r="F33" s="3">
        <f t="shared" ref="F33" si="16">AVERAGE(D33:D35)</f>
        <v>55.146666666666668</v>
      </c>
    </row>
    <row r="34" spans="2:6" x14ac:dyDescent="0.3">
      <c r="B34" s="2"/>
      <c r="C34">
        <v>0.09</v>
      </c>
      <c r="D34">
        <v>9.91</v>
      </c>
      <c r="E34" s="3"/>
      <c r="F34" s="3"/>
    </row>
    <row r="35" spans="2:6" x14ac:dyDescent="0.3">
      <c r="B35" s="2"/>
      <c r="C35">
        <v>0.09</v>
      </c>
      <c r="D35">
        <v>77.73</v>
      </c>
      <c r="E35" s="3"/>
      <c r="F35" s="3"/>
    </row>
    <row r="36" spans="2:6" x14ac:dyDescent="0.3">
      <c r="B36" s="2"/>
      <c r="C36">
        <v>0.1</v>
      </c>
      <c r="D36">
        <v>24.68</v>
      </c>
      <c r="E36" s="3">
        <f t="shared" ref="E36" si="17">AVERAGE(C36:C38)</f>
        <v>0.10000000000000002</v>
      </c>
      <c r="F36" s="3">
        <f t="shared" ref="F36" si="18">AVERAGE(D36:D38)</f>
        <v>19.080000000000002</v>
      </c>
    </row>
    <row r="37" spans="2:6" x14ac:dyDescent="0.3">
      <c r="B37" s="2"/>
      <c r="C37">
        <v>0.1</v>
      </c>
      <c r="D37">
        <v>24.03</v>
      </c>
      <c r="E37" s="3"/>
      <c r="F37" s="3"/>
    </row>
    <row r="38" spans="2:6" x14ac:dyDescent="0.3">
      <c r="B38" s="2"/>
      <c r="C38">
        <v>0.1</v>
      </c>
      <c r="D38">
        <v>8.5299999999999994</v>
      </c>
      <c r="E38" s="3"/>
      <c r="F38" s="3"/>
    </row>
    <row r="39" spans="2:6" x14ac:dyDescent="0.3">
      <c r="B39" s="2"/>
      <c r="C39">
        <v>0.2</v>
      </c>
      <c r="D39">
        <v>15.57</v>
      </c>
      <c r="E39" s="3">
        <f t="shared" ref="E39" si="19">AVERAGE(C39:C41)</f>
        <v>0.20000000000000004</v>
      </c>
      <c r="F39" s="3">
        <f t="shared" ref="F39" si="20">AVERAGE(D39:D41)</f>
        <v>34.396666666666668</v>
      </c>
    </row>
    <row r="40" spans="2:6" x14ac:dyDescent="0.3">
      <c r="B40" s="2"/>
      <c r="C40">
        <v>0.2</v>
      </c>
      <c r="D40">
        <v>77.8</v>
      </c>
      <c r="E40" s="3"/>
      <c r="F40" s="3"/>
    </row>
    <row r="41" spans="2:6" x14ac:dyDescent="0.3">
      <c r="B41" s="2"/>
      <c r="C41">
        <v>0.2</v>
      </c>
      <c r="D41">
        <v>9.82</v>
      </c>
      <c r="E41" s="3"/>
      <c r="F41" s="3"/>
    </row>
    <row r="42" spans="2:6" x14ac:dyDescent="0.3">
      <c r="B42" s="2"/>
      <c r="C42">
        <v>0.3</v>
      </c>
      <c r="D42">
        <v>15.8</v>
      </c>
      <c r="E42" s="3">
        <f>AVERAGE(C42:C44)</f>
        <v>0.3</v>
      </c>
      <c r="F42" s="3">
        <f t="shared" ref="F42" si="21">AVERAGE(D42:D44)</f>
        <v>13.433333333333332</v>
      </c>
    </row>
    <row r="43" spans="2:6" x14ac:dyDescent="0.3">
      <c r="B43" s="2"/>
      <c r="C43">
        <v>0.3</v>
      </c>
      <c r="D43">
        <v>15.43</v>
      </c>
      <c r="E43" s="3"/>
      <c r="F43" s="3"/>
    </row>
    <row r="44" spans="2:6" x14ac:dyDescent="0.3">
      <c r="B44" s="2"/>
      <c r="C44">
        <v>0.3</v>
      </c>
      <c r="D44">
        <v>9.07</v>
      </c>
      <c r="E44" s="3"/>
      <c r="F44" s="3"/>
    </row>
    <row r="45" spans="2:6" x14ac:dyDescent="0.3">
      <c r="C45">
        <v>0.4</v>
      </c>
      <c r="D45">
        <v>0</v>
      </c>
      <c r="E45" s="3">
        <f t="shared" ref="E45" si="22">AVERAGE(C45:C47)</f>
        <v>0.40000000000000008</v>
      </c>
      <c r="F45" s="3">
        <f t="shared" ref="F45" si="23">AVERAGE(D45:D47)</f>
        <v>3.956666666666667</v>
      </c>
    </row>
    <row r="46" spans="2:6" x14ac:dyDescent="0.3">
      <c r="C46">
        <v>0.4</v>
      </c>
      <c r="D46">
        <v>5.36</v>
      </c>
      <c r="E46" s="3"/>
      <c r="F46" s="3"/>
    </row>
    <row r="47" spans="2:6" x14ac:dyDescent="0.3">
      <c r="C47">
        <v>0.4</v>
      </c>
      <c r="D47">
        <v>6.51</v>
      </c>
      <c r="E47" s="3"/>
      <c r="F47" s="3"/>
    </row>
    <row r="48" spans="2:6" x14ac:dyDescent="0.3">
      <c r="C48">
        <v>0.5</v>
      </c>
      <c r="D48">
        <v>6.55</v>
      </c>
      <c r="E48" s="3">
        <f t="shared" ref="E48" si="24">AVERAGE(C48:C50)</f>
        <v>0.5</v>
      </c>
      <c r="F48" s="3">
        <f t="shared" ref="F48" si="25">AVERAGE(D48:D50)</f>
        <v>3.92</v>
      </c>
    </row>
    <row r="49" spans="3:8" x14ac:dyDescent="0.3">
      <c r="C49">
        <v>0.5</v>
      </c>
      <c r="D49">
        <v>0</v>
      </c>
      <c r="E49" s="3"/>
      <c r="F49" s="3"/>
    </row>
    <row r="50" spans="3:8" x14ac:dyDescent="0.3">
      <c r="C50">
        <v>0.5</v>
      </c>
      <c r="D50">
        <v>5.21</v>
      </c>
      <c r="E50" s="3"/>
      <c r="F50" s="3"/>
    </row>
    <row r="51" spans="3:8" x14ac:dyDescent="0.3">
      <c r="C51">
        <v>0.6</v>
      </c>
      <c r="D51">
        <v>0</v>
      </c>
      <c r="E51" s="3">
        <f t="shared" ref="E51" si="26">AVERAGE(C51:C53)</f>
        <v>0.6</v>
      </c>
      <c r="F51" s="3">
        <f t="shared" ref="F51:F60" si="27">AVERAGE(D51:D53)</f>
        <v>1.9433333333333334</v>
      </c>
    </row>
    <row r="52" spans="3:8" x14ac:dyDescent="0.3">
      <c r="C52">
        <v>0.6</v>
      </c>
      <c r="D52">
        <v>5.83</v>
      </c>
      <c r="E52" s="3"/>
      <c r="F52" s="3"/>
    </row>
    <row r="53" spans="3:8" x14ac:dyDescent="0.3">
      <c r="C53">
        <v>0.6</v>
      </c>
      <c r="D53">
        <v>0</v>
      </c>
      <c r="E53" s="3"/>
      <c r="F53" s="3"/>
    </row>
    <row r="54" spans="3:8" x14ac:dyDescent="0.3">
      <c r="C54">
        <v>0.7</v>
      </c>
      <c r="D54">
        <v>0</v>
      </c>
      <c r="E54" s="3">
        <f t="shared" ref="E54" si="28">AVERAGE(C54:C56)</f>
        <v>0.69999999999999984</v>
      </c>
      <c r="F54" s="3">
        <f t="shared" si="27"/>
        <v>0</v>
      </c>
    </row>
    <row r="55" spans="3:8" x14ac:dyDescent="0.3">
      <c r="C55">
        <v>0.7</v>
      </c>
      <c r="D55">
        <v>0</v>
      </c>
      <c r="E55" s="3"/>
      <c r="F55" s="3"/>
    </row>
    <row r="56" spans="3:8" x14ac:dyDescent="0.3">
      <c r="C56">
        <v>0.7</v>
      </c>
      <c r="D56">
        <v>0</v>
      </c>
      <c r="E56" s="3"/>
      <c r="F56" s="3"/>
    </row>
    <row r="57" spans="3:8" x14ac:dyDescent="0.3">
      <c r="C57">
        <v>0.8</v>
      </c>
      <c r="D57">
        <v>0</v>
      </c>
      <c r="E57" s="3">
        <f>AVERAGE(C57:C59)</f>
        <v>0.80000000000000016</v>
      </c>
      <c r="F57" s="3">
        <f t="shared" si="27"/>
        <v>0</v>
      </c>
    </row>
    <row r="58" spans="3:8" x14ac:dyDescent="0.3">
      <c r="C58">
        <v>0.8</v>
      </c>
      <c r="D58">
        <v>0</v>
      </c>
      <c r="E58" s="3"/>
      <c r="F58" s="3"/>
    </row>
    <row r="59" spans="3:8" x14ac:dyDescent="0.3">
      <c r="C59">
        <v>0.8</v>
      </c>
      <c r="D59">
        <v>0</v>
      </c>
      <c r="E59" s="3"/>
      <c r="F59" s="3"/>
    </row>
    <row r="60" spans="3:8" x14ac:dyDescent="0.3">
      <c r="C60">
        <v>0.9</v>
      </c>
      <c r="D60">
        <v>0</v>
      </c>
      <c r="E60" s="3">
        <f t="shared" ref="E60" si="29">AVERAGE(C60:C62)</f>
        <v>0.9</v>
      </c>
      <c r="F60" s="3">
        <f t="shared" si="27"/>
        <v>0</v>
      </c>
    </row>
    <row r="61" spans="3:8" x14ac:dyDescent="0.3">
      <c r="C61">
        <v>0.9</v>
      </c>
      <c r="D61">
        <v>0</v>
      </c>
      <c r="E61" s="3"/>
      <c r="F61" s="3"/>
    </row>
    <row r="62" spans="3:8" x14ac:dyDescent="0.3">
      <c r="C62">
        <v>0.9</v>
      </c>
      <c r="D62">
        <v>0</v>
      </c>
      <c r="E62" s="3"/>
      <c r="F62" s="3"/>
    </row>
    <row r="63" spans="3:8" x14ac:dyDescent="0.3">
      <c r="F63" s="3"/>
      <c r="H63" s="3"/>
    </row>
    <row r="64" spans="3:8" x14ac:dyDescent="0.3">
      <c r="F64" s="3"/>
      <c r="H64" s="3"/>
    </row>
    <row r="65" spans="3:26" x14ac:dyDescent="0.3">
      <c r="F65" s="3"/>
      <c r="H65" s="3"/>
    </row>
    <row r="69" spans="3:26" x14ac:dyDescent="0.3">
      <c r="C69" s="3" t="s">
        <v>3</v>
      </c>
      <c r="D69" s="3"/>
      <c r="E69" s="3"/>
      <c r="F69" s="3"/>
      <c r="G69" s="3"/>
      <c r="H69" s="3" t="s">
        <v>3</v>
      </c>
      <c r="I69" s="3"/>
      <c r="J69" s="3"/>
      <c r="K69" s="3"/>
    </row>
    <row r="70" spans="3:26" x14ac:dyDescent="0.3">
      <c r="C70" t="s">
        <v>4</v>
      </c>
      <c r="D70" t="s">
        <v>5</v>
      </c>
      <c r="F70" t="s">
        <v>6</v>
      </c>
      <c r="G70" t="s">
        <v>7</v>
      </c>
      <c r="H70" t="s">
        <v>8</v>
      </c>
      <c r="I70" t="s">
        <v>5</v>
      </c>
      <c r="J70" t="s">
        <v>9</v>
      </c>
      <c r="K70" t="s">
        <v>7</v>
      </c>
    </row>
    <row r="71" spans="3:26" x14ac:dyDescent="0.3">
      <c r="C71">
        <v>4</v>
      </c>
      <c r="D71">
        <v>15.08121</v>
      </c>
      <c r="F71">
        <v>727.79</v>
      </c>
      <c r="G71">
        <v>15.16</v>
      </c>
      <c r="H71" s="3">
        <f t="shared" ref="H71" si="30">AVERAGE(C71:C73)</f>
        <v>4</v>
      </c>
      <c r="I71" s="5">
        <f t="shared" ref="I71" si="31">AVERAGE(D71:D73)</f>
        <v>15.073063333333332</v>
      </c>
      <c r="J71" s="4">
        <f t="shared" ref="J71:K71" si="32">AVERAGE(F71:F73)</f>
        <v>728.18666666666661</v>
      </c>
      <c r="K71" s="4">
        <f t="shared" si="32"/>
        <v>15.170000000000002</v>
      </c>
    </row>
    <row r="72" spans="3:26" x14ac:dyDescent="0.3">
      <c r="C72">
        <v>4</v>
      </c>
      <c r="D72">
        <v>15.05303</v>
      </c>
      <c r="F72">
        <v>729.16</v>
      </c>
      <c r="G72">
        <v>15.19</v>
      </c>
      <c r="H72" s="3"/>
      <c r="I72" s="5"/>
      <c r="J72" s="4"/>
      <c r="K72" s="4"/>
    </row>
    <row r="73" spans="3:26" x14ac:dyDescent="0.3">
      <c r="C73">
        <v>4</v>
      </c>
      <c r="D73">
        <v>15.084949999999999</v>
      </c>
      <c r="F73">
        <v>727.61</v>
      </c>
      <c r="G73">
        <v>15.16</v>
      </c>
      <c r="H73" s="3"/>
      <c r="I73" s="5"/>
      <c r="J73" s="4"/>
      <c r="K73" s="4"/>
      <c r="W73" s="6"/>
      <c r="X73" s="7"/>
      <c r="Y73" s="8"/>
      <c r="Z73" s="8"/>
    </row>
    <row r="74" spans="3:26" x14ac:dyDescent="0.3">
      <c r="C74">
        <v>16</v>
      </c>
      <c r="D74">
        <v>5.9103700000000003</v>
      </c>
      <c r="F74">
        <v>1857.07</v>
      </c>
      <c r="G74">
        <v>38.69</v>
      </c>
      <c r="H74" s="3">
        <f t="shared" ref="H74" si="33">AVERAGE(C74:C76)</f>
        <v>16</v>
      </c>
      <c r="I74" s="5">
        <f t="shared" ref="I74" si="34">AVERAGE(D74:D76)</f>
        <v>5.9008766666666661</v>
      </c>
      <c r="J74" s="4">
        <f t="shared" ref="J74:K74" si="35">AVERAGE(F74:F76)</f>
        <v>1860.0766666666666</v>
      </c>
      <c r="K74" s="4">
        <f t="shared" si="35"/>
        <v>38.75333333333333</v>
      </c>
      <c r="W74" s="6"/>
      <c r="X74" s="7"/>
      <c r="Y74" s="8"/>
      <c r="Z74" s="8"/>
    </row>
    <row r="75" spans="3:26" x14ac:dyDescent="0.3">
      <c r="C75">
        <v>16</v>
      </c>
      <c r="D75">
        <v>5.9134900000000004</v>
      </c>
      <c r="F75">
        <v>1856.1</v>
      </c>
      <c r="G75">
        <v>38.67</v>
      </c>
      <c r="H75" s="3"/>
      <c r="I75" s="5"/>
      <c r="J75" s="4"/>
      <c r="K75" s="4"/>
      <c r="W75" s="6"/>
      <c r="X75" s="7"/>
      <c r="Y75" s="8"/>
      <c r="Z75" s="8"/>
    </row>
    <row r="76" spans="3:26" x14ac:dyDescent="0.3">
      <c r="C76">
        <v>16</v>
      </c>
      <c r="D76">
        <v>5.8787700000000003</v>
      </c>
      <c r="F76">
        <v>1867.06</v>
      </c>
      <c r="G76">
        <v>38.9</v>
      </c>
      <c r="H76" s="3"/>
      <c r="I76" s="5"/>
      <c r="J76" s="4"/>
      <c r="K76" s="4"/>
    </row>
    <row r="77" spans="3:26" x14ac:dyDescent="0.3">
      <c r="C77">
        <v>64</v>
      </c>
      <c r="D77">
        <v>3.6248300000000002</v>
      </c>
      <c r="F77">
        <v>3028</v>
      </c>
      <c r="G77">
        <v>63.08</v>
      </c>
      <c r="H77" s="3">
        <f>AVERAGE(C77:C79)</f>
        <v>64</v>
      </c>
      <c r="I77" s="5">
        <f>AVERAGE(D77:D79)</f>
        <v>3.6294733333333333</v>
      </c>
      <c r="J77" s="4">
        <f t="shared" ref="J77" si="36">AVERAGE(F77:F79)</f>
        <v>3024.1333333333332</v>
      </c>
      <c r="K77" s="4">
        <f>AVERAGE(G77:G79)</f>
        <v>63.00333333333333</v>
      </c>
    </row>
    <row r="78" spans="3:26" x14ac:dyDescent="0.3">
      <c r="C78">
        <v>64</v>
      </c>
      <c r="D78">
        <v>3.6279400000000002</v>
      </c>
      <c r="F78">
        <v>3025.41</v>
      </c>
      <c r="G78">
        <v>63.03</v>
      </c>
      <c r="H78" s="3"/>
      <c r="I78" s="5"/>
      <c r="J78" s="4"/>
      <c r="K78" s="4"/>
    </row>
    <row r="79" spans="3:26" x14ac:dyDescent="0.3">
      <c r="C79">
        <v>64</v>
      </c>
      <c r="D79">
        <v>3.63565</v>
      </c>
      <c r="F79">
        <v>3018.99</v>
      </c>
      <c r="G79">
        <v>62.9</v>
      </c>
      <c r="H79" s="3"/>
      <c r="I79" s="5"/>
      <c r="J79" s="4"/>
      <c r="K79" s="4"/>
    </row>
    <row r="80" spans="3:26" x14ac:dyDescent="0.3">
      <c r="C80">
        <v>256</v>
      </c>
      <c r="D80">
        <v>3.0715599999999998</v>
      </c>
      <c r="F80">
        <v>3573.42</v>
      </c>
      <c r="G80">
        <v>74.45</v>
      </c>
      <c r="H80" s="3">
        <f t="shared" ref="H80" si="37">AVERAGE(C80:C82)</f>
        <v>256</v>
      </c>
      <c r="I80" s="5">
        <f t="shared" ref="I80" si="38">AVERAGE(D80:D82)</f>
        <v>3.072283333333333</v>
      </c>
      <c r="J80" s="4">
        <f t="shared" ref="J80:K80" si="39">AVERAGE(F80:F82)</f>
        <v>3572.5833333333335</v>
      </c>
      <c r="K80" s="4">
        <f t="shared" si="39"/>
        <v>74.430000000000007</v>
      </c>
    </row>
    <row r="81" spans="3:11" x14ac:dyDescent="0.3">
      <c r="C81">
        <v>256</v>
      </c>
      <c r="D81">
        <v>3.0739299999999998</v>
      </c>
      <c r="F81">
        <v>3570.67</v>
      </c>
      <c r="G81">
        <v>74.39</v>
      </c>
      <c r="H81" s="3"/>
      <c r="I81" s="5"/>
      <c r="J81" s="4"/>
      <c r="K81" s="4"/>
    </row>
    <row r="82" spans="3:11" x14ac:dyDescent="0.3">
      <c r="C82">
        <v>256</v>
      </c>
      <c r="D82">
        <v>3.0713599999999999</v>
      </c>
      <c r="F82">
        <v>3573.66</v>
      </c>
      <c r="G82">
        <v>74.45</v>
      </c>
      <c r="H82" s="3"/>
      <c r="I82" s="5"/>
      <c r="J82" s="4"/>
      <c r="K82" s="4"/>
    </row>
    <row r="83" spans="3:11" x14ac:dyDescent="0.3">
      <c r="C83">
        <v>1024</v>
      </c>
      <c r="D83">
        <v>2.9344299999999999</v>
      </c>
      <c r="F83">
        <v>3788.12</v>
      </c>
      <c r="G83">
        <v>77.930000000000007</v>
      </c>
      <c r="H83" s="3">
        <f t="shared" ref="H83" si="40">AVERAGE(C83:C85)</f>
        <v>1024</v>
      </c>
      <c r="I83" s="5">
        <f t="shared" ref="I83" si="41">AVERAGE(D83:D85)</f>
        <v>2.9338766666666665</v>
      </c>
      <c r="J83" s="4">
        <f t="shared" ref="J83:K83" si="42">AVERAGE(F83:F85)</f>
        <v>3757.0266666666666</v>
      </c>
      <c r="K83" s="4">
        <f t="shared" si="42"/>
        <v>77.943333333333328</v>
      </c>
    </row>
    <row r="84" spans="3:11" x14ac:dyDescent="0.3">
      <c r="C84">
        <v>1024</v>
      </c>
      <c r="D84">
        <v>2.9335300000000002</v>
      </c>
      <c r="F84">
        <v>3741.57</v>
      </c>
      <c r="G84">
        <v>77.95</v>
      </c>
      <c r="H84" s="3"/>
      <c r="I84" s="5"/>
      <c r="J84" s="4"/>
      <c r="K84" s="4"/>
    </row>
    <row r="85" spans="3:11" x14ac:dyDescent="0.3">
      <c r="C85">
        <v>1024</v>
      </c>
      <c r="D85">
        <v>2.9336700000000002</v>
      </c>
      <c r="F85">
        <v>3741.39</v>
      </c>
      <c r="G85">
        <v>77.95</v>
      </c>
      <c r="H85" s="3"/>
      <c r="I85" s="5"/>
      <c r="J85" s="4"/>
      <c r="K85" s="4"/>
    </row>
    <row r="86" spans="3:11" x14ac:dyDescent="0.3">
      <c r="C86">
        <v>4096</v>
      </c>
      <c r="D86">
        <v>2.9022700000000001</v>
      </c>
      <c r="F86">
        <v>3781.87</v>
      </c>
      <c r="G86">
        <v>78.790000000000006</v>
      </c>
      <c r="H86" s="3">
        <f t="shared" ref="H86" si="43">AVERAGE(C86:C88)</f>
        <v>4096</v>
      </c>
      <c r="I86" s="5">
        <f t="shared" ref="I86" si="44">AVERAGE(D86:D88)</f>
        <v>2.9019300000000001</v>
      </c>
      <c r="J86" s="4">
        <f t="shared" ref="J86:K86" si="45">AVERAGE(F86:F88)</f>
        <v>3782.31</v>
      </c>
      <c r="K86" s="4">
        <f t="shared" si="45"/>
        <v>78.8</v>
      </c>
    </row>
    <row r="87" spans="3:11" x14ac:dyDescent="0.3">
      <c r="C87">
        <v>4096</v>
      </c>
      <c r="D87">
        <v>2.9005200000000002</v>
      </c>
      <c r="F87">
        <v>3784.15</v>
      </c>
      <c r="G87">
        <v>78.84</v>
      </c>
      <c r="H87" s="3"/>
      <c r="I87" s="5"/>
      <c r="J87" s="4"/>
      <c r="K87" s="4"/>
    </row>
    <row r="88" spans="3:11" x14ac:dyDescent="0.3">
      <c r="C88">
        <v>4096</v>
      </c>
      <c r="D88">
        <v>2.903</v>
      </c>
      <c r="F88">
        <v>3780.91</v>
      </c>
      <c r="G88">
        <v>78.77</v>
      </c>
      <c r="H88" s="3"/>
      <c r="I88" s="5"/>
      <c r="J88" s="4"/>
      <c r="K88" s="4"/>
    </row>
    <row r="89" spans="3:11" x14ac:dyDescent="0.3">
      <c r="C89">
        <v>16384</v>
      </c>
      <c r="D89">
        <v>2.8924500000000002</v>
      </c>
      <c r="F89">
        <v>3794.71</v>
      </c>
      <c r="G89">
        <v>79.06</v>
      </c>
      <c r="H89" s="3">
        <f t="shared" ref="H89" si="46">AVERAGE(C89:C91)</f>
        <v>16384</v>
      </c>
      <c r="I89" s="5">
        <f t="shared" ref="I89" si="47">AVERAGE(D89:D91)</f>
        <v>2.8921833333333336</v>
      </c>
      <c r="J89" s="4">
        <f t="shared" ref="J89:K89" si="48">AVERAGE(F89:F91)</f>
        <v>3795.06</v>
      </c>
      <c r="K89" s="4">
        <f t="shared" si="48"/>
        <v>79.066666666666663</v>
      </c>
    </row>
    <row r="90" spans="3:11" x14ac:dyDescent="0.3">
      <c r="C90">
        <v>16384</v>
      </c>
      <c r="D90">
        <v>2.8920599999999999</v>
      </c>
      <c r="F90">
        <v>3795.22</v>
      </c>
      <c r="G90">
        <v>79.069999999999993</v>
      </c>
      <c r="H90" s="3"/>
      <c r="I90" s="5"/>
      <c r="J90" s="4"/>
      <c r="K90" s="4"/>
    </row>
    <row r="91" spans="3:11" x14ac:dyDescent="0.3">
      <c r="C91">
        <v>16384</v>
      </c>
      <c r="D91">
        <v>2.8920400000000002</v>
      </c>
      <c r="F91">
        <v>3795.25</v>
      </c>
      <c r="G91">
        <v>79.069999999999993</v>
      </c>
      <c r="H91" s="3"/>
      <c r="I91" s="5"/>
      <c r="J91" s="4"/>
      <c r="K91" s="4"/>
    </row>
  </sheetData>
  <mergeCells count="73">
    <mergeCell ref="H86:H88"/>
    <mergeCell ref="I86:I88"/>
    <mergeCell ref="J86:J88"/>
    <mergeCell ref="K86:K88"/>
    <mergeCell ref="H89:H91"/>
    <mergeCell ref="I89:I91"/>
    <mergeCell ref="J89:J91"/>
    <mergeCell ref="K89:K91"/>
    <mergeCell ref="H80:H82"/>
    <mergeCell ref="I80:I82"/>
    <mergeCell ref="J80:J82"/>
    <mergeCell ref="K80:K82"/>
    <mergeCell ref="H83:H85"/>
    <mergeCell ref="I83:I85"/>
    <mergeCell ref="J83:J85"/>
    <mergeCell ref="K83:K85"/>
    <mergeCell ref="I77:I79"/>
    <mergeCell ref="J77:J79"/>
    <mergeCell ref="K77:K79"/>
    <mergeCell ref="C69:G69"/>
    <mergeCell ref="H69:K69"/>
    <mergeCell ref="H71:H73"/>
    <mergeCell ref="I71:I73"/>
    <mergeCell ref="J71:J73"/>
    <mergeCell ref="K71:K73"/>
    <mergeCell ref="H74:H76"/>
    <mergeCell ref="I74:I76"/>
    <mergeCell ref="J74:J76"/>
    <mergeCell ref="K74:K76"/>
    <mergeCell ref="F57:F59"/>
    <mergeCell ref="F60:F62"/>
    <mergeCell ref="F63:F65"/>
    <mergeCell ref="H63:H65"/>
    <mergeCell ref="H77:H79"/>
    <mergeCell ref="C3:G3"/>
    <mergeCell ref="D4:G4"/>
    <mergeCell ref="H4:J4"/>
    <mergeCell ref="F51:F53"/>
    <mergeCell ref="F54:F56"/>
    <mergeCell ref="F39:F41"/>
    <mergeCell ref="F42:F44"/>
    <mergeCell ref="F45:F47"/>
    <mergeCell ref="F48:F50"/>
    <mergeCell ref="F6:F8"/>
    <mergeCell ref="F9:F11"/>
    <mergeCell ref="F33:F35"/>
    <mergeCell ref="F12:F14"/>
    <mergeCell ref="F18:F20"/>
    <mergeCell ref="F24:F26"/>
    <mergeCell ref="F27:F29"/>
    <mergeCell ref="E36:E38"/>
    <mergeCell ref="E39:E41"/>
    <mergeCell ref="F30:F32"/>
    <mergeCell ref="F15:F17"/>
    <mergeCell ref="F21:F23"/>
    <mergeCell ref="F36:F38"/>
    <mergeCell ref="E21:E23"/>
    <mergeCell ref="E24:E26"/>
    <mergeCell ref="E27:E29"/>
    <mergeCell ref="E30:E32"/>
    <mergeCell ref="E33:E35"/>
    <mergeCell ref="E6:E8"/>
    <mergeCell ref="E9:E11"/>
    <mergeCell ref="E12:E14"/>
    <mergeCell ref="E15:E17"/>
    <mergeCell ref="E18:E20"/>
    <mergeCell ref="E57:E59"/>
    <mergeCell ref="E60:E62"/>
    <mergeCell ref="E42:E44"/>
    <mergeCell ref="E45:E47"/>
    <mergeCell ref="E48:E50"/>
    <mergeCell ref="E51:E53"/>
    <mergeCell ref="E54:E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Pinto Marinho</dc:creator>
  <cp:lastModifiedBy>José Miguel Pinto Marinho</cp:lastModifiedBy>
  <dcterms:created xsi:type="dcterms:W3CDTF">2026-04-14T11:31:24Z</dcterms:created>
  <dcterms:modified xsi:type="dcterms:W3CDTF">2026-04-15T16:55:13Z</dcterms:modified>
</cp:coreProperties>
</file>